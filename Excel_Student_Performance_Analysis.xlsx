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shashi\Desktop\"/>
    </mc:Choice>
  </mc:AlternateContent>
  <xr:revisionPtr revIDLastSave="0" documentId="13_ncr:1_{FC08C664-C388-4437-85E7-D0FDFD4A6BA2}" xr6:coauthVersionLast="36" xr6:coauthVersionMax="36" xr10:uidLastSave="{00000000-0000-0000-0000-000000000000}"/>
  <bookViews>
    <workbookView xWindow="0" yWindow="0" windowWidth="16410" windowHeight="7425" activeTab="3" xr2:uid="{00000000-000D-0000-FFFF-FFFF00000000}"/>
  </bookViews>
  <sheets>
    <sheet name="Marks_Data" sheetId="1" r:id="rId1"/>
    <sheet name="Formula_Calculations" sheetId="2" r:id="rId2"/>
    <sheet name="Pivot_Summary" sheetId="3" r:id="rId3"/>
    <sheet name="Dashboard" sheetId="4" r:id="rId4"/>
    <sheet name="Printable_Marksheet" sheetId="5" r:id="rId5"/>
  </sheets>
  <definedNames>
    <definedName name="_xlnm.Print_Area" localSheetId="4">Printable_Marksheet!$A$1:$B$17</definedName>
    <definedName name="Slicer_Class">#N/A</definedName>
  </definedNames>
  <calcPr calcId="191029"/>
  <pivotCaches>
    <pivotCache cacheId="5"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B4" i="5" l="1"/>
  <c r="B12" i="5"/>
  <c r="B11" i="5"/>
  <c r="B10" i="5"/>
  <c r="B9" i="5"/>
  <c r="B8" i="5"/>
  <c r="B14" i="5" l="1"/>
  <c r="B15" i="5" s="1"/>
  <c r="G77" i="4"/>
  <c r="E77" i="4"/>
  <c r="C77" i="4"/>
  <c r="A77" i="4"/>
  <c r="B16" i="5" l="1"/>
  <c r="B17" i="5"/>
</calcChain>
</file>

<file path=xl/sharedStrings.xml><?xml version="1.0" encoding="utf-8"?>
<sst xmlns="http://schemas.openxmlformats.org/spreadsheetml/2006/main" count="87" uniqueCount="54">
  <si>
    <t>Roll No</t>
  </si>
  <si>
    <t>Student Name</t>
  </si>
  <si>
    <t>Class</t>
  </si>
  <si>
    <t>English</t>
  </si>
  <si>
    <t>Maths</t>
  </si>
  <si>
    <t>Science</t>
  </si>
  <si>
    <t>Computer</t>
  </si>
  <si>
    <t>History</t>
  </si>
  <si>
    <t>Total</t>
  </si>
  <si>
    <t>Percentage</t>
  </si>
  <si>
    <t>Grade</t>
  </si>
  <si>
    <t>Status</t>
  </si>
  <si>
    <t>Rahul</t>
  </si>
  <si>
    <t>10A</t>
  </si>
  <si>
    <t>A</t>
  </si>
  <si>
    <t>Pass</t>
  </si>
  <si>
    <t>Sneha</t>
  </si>
  <si>
    <t>A+</t>
  </si>
  <si>
    <t>Aman</t>
  </si>
  <si>
    <t>10B</t>
  </si>
  <si>
    <t>F</t>
  </si>
  <si>
    <t>Fail</t>
  </si>
  <si>
    <t>Count</t>
  </si>
  <si>
    <t>B</t>
  </si>
  <si>
    <t>C</t>
  </si>
  <si>
    <t>Student Performance Dashboard</t>
  </si>
  <si>
    <t>Total Marks formula: =SUM(D2:H2)</t>
  </si>
  <si>
    <t>Percentage formula=  I2/500*100</t>
  </si>
  <si>
    <t>Grade formula=  IF(J2&gt;=90,"A+",IF(J2&gt;=75,"A",IF(J2&gt;=60,"B",IF(J2&gt;=40,"C","F"))))</t>
  </si>
  <si>
    <t>Status formula= IF(J2&gt;=40,"Pass","Fail")</t>
  </si>
  <si>
    <t>Row Labels</t>
  </si>
  <si>
    <t>Grand Total</t>
  </si>
  <si>
    <t>Count of Roll No</t>
  </si>
  <si>
    <t>Average of English</t>
  </si>
  <si>
    <t>Average of Maths</t>
  </si>
  <si>
    <t>Average of Science</t>
  </si>
  <si>
    <t>Average of Computer</t>
  </si>
  <si>
    <t>Average of History</t>
  </si>
  <si>
    <t>Average of Percentage</t>
  </si>
  <si>
    <t>Total Students</t>
  </si>
  <si>
    <t>Class Average</t>
  </si>
  <si>
    <t>Highest Marks</t>
  </si>
  <si>
    <t>Pass%</t>
  </si>
  <si>
    <t xml:space="preserve">A </t>
  </si>
  <si>
    <t>Subject</t>
  </si>
  <si>
    <t>Student Marksheet</t>
  </si>
  <si>
    <t>Student Name:</t>
  </si>
  <si>
    <t>Roll No:</t>
  </si>
  <si>
    <t>Marks</t>
  </si>
  <si>
    <t>Total Marks:</t>
  </si>
  <si>
    <t>Percentage:</t>
  </si>
  <si>
    <t>Grade:</t>
  </si>
  <si>
    <t>Result:</t>
  </si>
  <si>
    <t>Sum of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</si>
</sst>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6"/>
      <color theme="1"/>
      <name val="Calibri"/>
      <family val="2"/>
      <scheme val="minor"/>
    </font>
    <font>
      <b/>
      <sz val="20"/>
      <color theme="1"/>
      <name val="Calibri"/>
      <family val="2"/>
      <scheme val="minor"/>
    </font>
    <font>
      <sz val="11"/>
      <color theme="1"/>
      <name val="Calibri"/>
      <family val="2"/>
      <scheme val="minor"/>
    </font>
    <font>
      <b/>
      <sz val="22"/>
      <color theme="1"/>
      <name val="Calibri"/>
      <family val="2"/>
      <scheme val="minor"/>
    </font>
    <font>
      <sz val="20"/>
      <color theme="1"/>
      <name val="Calibri"/>
      <family val="2"/>
      <scheme val="minor"/>
    </font>
    <font>
      <sz val="15"/>
      <color theme="1"/>
      <name val="Calibri"/>
      <family val="2"/>
      <scheme val="minor"/>
    </font>
  </fonts>
  <fills count="7">
    <fill>
      <patternFill patternType="none"/>
    </fill>
    <fill>
      <patternFill patternType="gray125"/>
    </fill>
    <fill>
      <patternFill patternType="solid">
        <fgColor theme="4"/>
        <bgColor indexed="64"/>
      </patternFill>
    </fill>
    <fill>
      <patternFill patternType="solid">
        <fgColor rgb="FF00B0F0"/>
        <bgColor indexed="64"/>
      </patternFill>
    </fill>
    <fill>
      <patternFill patternType="solid">
        <fgColor rgb="FF92D050"/>
        <bgColor indexed="64"/>
      </patternFill>
    </fill>
    <fill>
      <patternFill patternType="solid">
        <fgColor theme="9" tint="0.39997558519241921"/>
        <bgColor indexed="64"/>
      </patternFill>
    </fill>
    <fill>
      <patternFill patternType="solid">
        <fgColor theme="7" tint="0.39997558519241921"/>
        <bgColor indexed="64"/>
      </patternFill>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9" fontId="3" fillId="0" borderId="0" applyFont="0" applyFill="0" applyBorder="0" applyAlignment="0" applyProtection="0"/>
  </cellStyleXfs>
  <cellXfs count="35">
    <xf numFmtId="0" fontId="0" fillId="0" borderId="0" xfId="0"/>
    <xf numFmtId="0" fontId="0" fillId="0" borderId="0" xfId="0" applyAlignment="1">
      <alignment horizontal="center"/>
    </xf>
    <xf numFmtId="0" fontId="0" fillId="2" borderId="0" xfId="0" applyFill="1"/>
    <xf numFmtId="0" fontId="0" fillId="0" borderId="0" xfId="0" applyAlignment="1">
      <alignment horizontal="left"/>
    </xf>
    <xf numFmtId="0" fontId="0" fillId="0" borderId="0" xfId="0" pivotButton="1"/>
    <xf numFmtId="0" fontId="0" fillId="0" borderId="0" xfId="0" applyNumberFormat="1"/>
    <xf numFmtId="0" fontId="2" fillId="3" borderId="1" xfId="0" applyFont="1" applyFill="1" applyBorder="1"/>
    <xf numFmtId="0" fontId="2" fillId="3" borderId="2" xfId="0" applyFont="1" applyFill="1" applyBorder="1" applyAlignment="1">
      <alignment horizontal="center"/>
    </xf>
    <xf numFmtId="0" fontId="2" fillId="4" borderId="1" xfId="0" applyFont="1" applyFill="1" applyBorder="1"/>
    <xf numFmtId="0" fontId="2" fillId="4" borderId="2" xfId="0" applyFont="1" applyFill="1" applyBorder="1" applyAlignment="1">
      <alignment horizontal="center"/>
    </xf>
    <xf numFmtId="0" fontId="2" fillId="5" borderId="1" xfId="0" applyFont="1" applyFill="1" applyBorder="1"/>
    <xf numFmtId="0" fontId="2" fillId="5" borderId="2" xfId="0" applyFont="1" applyFill="1" applyBorder="1" applyAlignment="1">
      <alignment horizontal="center"/>
    </xf>
    <xf numFmtId="0" fontId="2" fillId="6" borderId="1" xfId="0" applyFont="1" applyFill="1" applyBorder="1" applyAlignment="1">
      <alignment horizontal="center"/>
    </xf>
    <xf numFmtId="10" fontId="2" fillId="6" borderId="2" xfId="0" applyNumberFormat="1" applyFont="1" applyFill="1" applyBorder="1" applyAlignment="1">
      <alignment horizontal="center"/>
    </xf>
    <xf numFmtId="0" fontId="0" fillId="0" borderId="0" xfId="0" applyNumberFormat="1" applyAlignment="1">
      <alignment horizontal="center"/>
    </xf>
    <xf numFmtId="0" fontId="4" fillId="0" borderId="0" xfId="0" applyFont="1"/>
    <xf numFmtId="0" fontId="2" fillId="0" borderId="0" xfId="0" applyFont="1"/>
    <xf numFmtId="0" fontId="5" fillId="0" borderId="0" xfId="0" applyFont="1"/>
    <xf numFmtId="0" fontId="2" fillId="0" borderId="3" xfId="0" applyFont="1" applyBorder="1"/>
    <xf numFmtId="0" fontId="6" fillId="0" borderId="0" xfId="0" applyFont="1"/>
    <xf numFmtId="0" fontId="5" fillId="0" borderId="0" xfId="0" applyFont="1" applyAlignment="1">
      <alignment horizontal="right"/>
    </xf>
    <xf numFmtId="0" fontId="5" fillId="0" borderId="3" xfId="0" applyFont="1" applyBorder="1" applyAlignment="1">
      <alignment horizontal="right"/>
    </xf>
    <xf numFmtId="0" fontId="5" fillId="0" borderId="3" xfId="0" applyFont="1" applyBorder="1"/>
    <xf numFmtId="10" fontId="5" fillId="0" borderId="3" xfId="1" applyNumberFormat="1" applyFont="1" applyBorder="1"/>
    <xf numFmtId="0" fontId="4" fillId="0" borderId="0" xfId="0" applyFont="1" applyAlignment="1">
      <alignment wrapText="1"/>
    </xf>
    <xf numFmtId="0" fontId="2" fillId="0" borderId="0" xfId="0" applyFont="1" applyBorder="1"/>
    <xf numFmtId="0" fontId="5" fillId="0" borderId="0" xfId="0" applyFont="1" applyBorder="1" applyAlignment="1">
      <alignment horizontal="right"/>
    </xf>
    <xf numFmtId="0" fontId="2" fillId="0" borderId="4" xfId="0" applyFont="1" applyBorder="1"/>
    <xf numFmtId="0" fontId="5" fillId="0" borderId="4" xfId="0" applyFont="1" applyBorder="1" applyAlignment="1">
      <alignment horizontal="right"/>
    </xf>
    <xf numFmtId="0" fontId="5" fillId="0" borderId="0" xfId="0" applyFont="1" applyBorder="1"/>
    <xf numFmtId="10" fontId="5" fillId="0" borderId="0" xfId="1" applyNumberFormat="1" applyFont="1" applyBorder="1"/>
    <xf numFmtId="0" fontId="1" fillId="2" borderId="0" xfId="0" applyFont="1" applyFill="1" applyAlignment="1">
      <alignment horizontal="center" vertical="center" wrapText="1"/>
    </xf>
    <xf numFmtId="0" fontId="0" fillId="2" borderId="0" xfId="0" applyFill="1" applyAlignment="1">
      <alignment horizontal="center" vertical="center" wrapText="1"/>
    </xf>
    <xf numFmtId="0" fontId="4" fillId="2" borderId="0" xfId="0" applyFont="1" applyFill="1" applyAlignment="1">
      <alignment horizontal="center" vertical="center" wrapText="1"/>
    </xf>
    <xf numFmtId="0" fontId="4" fillId="5" borderId="4" xfId="0" applyFont="1" applyFill="1" applyBorder="1" applyAlignment="1">
      <alignment horizontal="center" wrapText="1"/>
    </xf>
  </cellXfs>
  <cellStyles count="2">
    <cellStyle name="Normal" xfId="0" builtinId="0"/>
    <cellStyle name="Percent" xfId="1" builtinId="5"/>
  </cellStyles>
  <dxfs count="231">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[Excel_Student_Performance_Analysis.xlsx]Pivot_Summary!PivotTable1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Grade</a:t>
            </a:r>
            <a:r>
              <a:rPr lang="en-IN" baseline="0"/>
              <a:t>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Pivot_Summary!$B$1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5C-4CF6-8A0C-4618E00B57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5C-4CF6-8A0C-4618E00B57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5C-4CF6-8A0C-4618E00B57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Pivot_Summary!$A$2:$A$5</c:f>
              <c:strCache>
                <c:ptCount val="3"/>
                <c:pt idx="0">
                  <c:v>A</c:v>
                </c:pt>
                <c:pt idx="1">
                  <c:v>A+</c:v>
                </c:pt>
                <c:pt idx="2">
                  <c:v>F</c:v>
                </c:pt>
              </c:strCache>
            </c:strRef>
          </c:cat>
          <c:val>
            <c:numRef>
              <c:f>Pivot_Summary!$B$2:$B$5</c:f>
              <c:numCache>
                <c:formatCode>General</c:formatCode>
                <c:ptCount val="3"/>
                <c:pt idx="0">
                  <c:v>1</c:v>
                </c:pt>
                <c:pt idx="1">
                  <c:v>1</c:v>
                </c:pt>
                <c:pt idx="2">
                  <c:v>1</c:v>
                </c:pt>
              </c:numCache>
            </c:numRef>
          </c:val>
          <c:extLst>
            <c:ext xmlns:c16="http://schemas.microsoft.com/office/drawing/2014/chart" uri="{C3380CC4-5D6E-409C-BE32-E72D297353CC}">
              <c16:uniqueId val="{0000000B-518F-4C4D-B45D-AC9BC4081A45}"/>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[Excel_Student_Performance_Analysis.xlsx]Pivot_Summary!PivotTable2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Subject-wise</a:t>
            </a:r>
            <a:r>
              <a:rPr lang="en-US" baseline="0"/>
              <a:t> Average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Pivot_Summary!$A$9</c:f>
              <c:strCache>
                <c:ptCount val="1"/>
                <c:pt idx="0">
                  <c:v>Average of English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Pivot_Summary!$A$10</c:f>
              <c:strCache>
                <c:ptCount val="1"/>
                <c:pt idx="0">
                  <c:v>Total</c:v>
                </c:pt>
              </c:strCache>
            </c:strRef>
          </c:cat>
          <c:val>
            <c:numRef>
              <c:f>Pivot_Summary!$A$10</c:f>
              <c:numCache>
                <c:formatCode>General</c:formatCode>
                <c:ptCount val="1"/>
                <c:pt idx="0">
                  <c:v>70</c:v>
                </c:pt>
              </c:numCache>
            </c:numRef>
          </c:val>
          <c:extLst>
            <c:ext xmlns:c16="http://schemas.microsoft.com/office/drawing/2014/chart" uri="{C3380CC4-5D6E-409C-BE32-E72D297353CC}">
              <c16:uniqueId val="{00000001-7274-48A9-9200-F826408ADB5E}"/>
            </c:ext>
          </c:extLst>
        </c:ser>
        <c:ser>
          <c:idx val="1"/>
          <c:order val="1"/>
          <c:tx>
            <c:strRef>
              <c:f>Pivot_Summary!$B$9</c:f>
              <c:strCache>
                <c:ptCount val="1"/>
                <c:pt idx="0">
                  <c:v>Average of Maths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Pivot_Summary!$A$10</c:f>
              <c:strCache>
                <c:ptCount val="1"/>
                <c:pt idx="0">
                  <c:v>Total</c:v>
                </c:pt>
              </c:strCache>
            </c:strRef>
          </c:cat>
          <c:val>
            <c:numRef>
              <c:f>Pivot_Summary!$B$10</c:f>
              <c:numCache>
                <c:formatCode>General</c:formatCode>
                <c:ptCount val="1"/>
                <c:pt idx="0">
                  <c:v>73</c:v>
                </c:pt>
              </c:numCache>
            </c:numRef>
          </c:val>
          <c:extLst>
            <c:ext xmlns:c16="http://schemas.microsoft.com/office/drawing/2014/chart" uri="{C3380CC4-5D6E-409C-BE32-E72D297353CC}">
              <c16:uniqueId val="{00000002-7274-48A9-9200-F826408ADB5E}"/>
            </c:ext>
          </c:extLst>
        </c:ser>
        <c:ser>
          <c:idx val="2"/>
          <c:order val="2"/>
          <c:tx>
            <c:strRef>
              <c:f>Pivot_Summary!$C$9</c:f>
              <c:strCache>
                <c:ptCount val="1"/>
                <c:pt idx="0">
                  <c:v>Average of Science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Pivot_Summary!$A$10</c:f>
              <c:strCache>
                <c:ptCount val="1"/>
                <c:pt idx="0">
                  <c:v>Total</c:v>
                </c:pt>
              </c:strCache>
            </c:strRef>
          </c:cat>
          <c:val>
            <c:numRef>
              <c:f>Pivot_Summary!$C$10</c:f>
              <c:numCache>
                <c:formatCode>General</c:formatCode>
                <c:ptCount val="1"/>
                <c:pt idx="0">
                  <c:v>72</c:v>
                </c:pt>
              </c:numCache>
            </c:numRef>
          </c:val>
          <c:extLst>
            <c:ext xmlns:c16="http://schemas.microsoft.com/office/drawing/2014/chart" uri="{C3380CC4-5D6E-409C-BE32-E72D297353CC}">
              <c16:uniqueId val="{00000003-7274-48A9-9200-F826408ADB5E}"/>
            </c:ext>
          </c:extLst>
        </c:ser>
        <c:ser>
          <c:idx val="3"/>
          <c:order val="3"/>
          <c:tx>
            <c:strRef>
              <c:f>Pivot_Summary!$D$9</c:f>
              <c:strCache>
                <c:ptCount val="1"/>
                <c:pt idx="0">
                  <c:v>Average of Computer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Pivot_Summary!$A$10</c:f>
              <c:strCache>
                <c:ptCount val="1"/>
                <c:pt idx="0">
                  <c:v>Total</c:v>
                </c:pt>
              </c:strCache>
            </c:strRef>
          </c:cat>
          <c:val>
            <c:numRef>
              <c:f>Pivot_Summary!$D$10</c:f>
              <c:numCache>
                <c:formatCode>General</c:formatCode>
                <c:ptCount val="1"/>
                <c:pt idx="0">
                  <c:v>74.333333333333329</c:v>
                </c:pt>
              </c:numCache>
            </c:numRef>
          </c:val>
          <c:extLst>
            <c:ext xmlns:c16="http://schemas.microsoft.com/office/drawing/2014/chart" uri="{C3380CC4-5D6E-409C-BE32-E72D297353CC}">
              <c16:uniqueId val="{00000004-7274-48A9-9200-F826408ADB5E}"/>
            </c:ext>
          </c:extLst>
        </c:ser>
        <c:ser>
          <c:idx val="4"/>
          <c:order val="4"/>
          <c:tx>
            <c:strRef>
              <c:f>Pivot_Summary!$E$9</c:f>
              <c:strCache>
                <c:ptCount val="1"/>
                <c:pt idx="0">
                  <c:v>Average of History</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Pivot_Summary!$A$10</c:f>
              <c:strCache>
                <c:ptCount val="1"/>
                <c:pt idx="0">
                  <c:v>Total</c:v>
                </c:pt>
              </c:strCache>
            </c:strRef>
          </c:cat>
          <c:val>
            <c:numRef>
              <c:f>Pivot_Summary!$E$10</c:f>
              <c:numCache>
                <c:formatCode>General</c:formatCode>
                <c:ptCount val="1"/>
                <c:pt idx="0">
                  <c:v>67</c:v>
                </c:pt>
              </c:numCache>
            </c:numRef>
          </c:val>
          <c:extLst>
            <c:ext xmlns:c16="http://schemas.microsoft.com/office/drawing/2014/chart" uri="{C3380CC4-5D6E-409C-BE32-E72D297353CC}">
              <c16:uniqueId val="{00000005-7274-48A9-9200-F826408ADB5E}"/>
            </c:ext>
          </c:extLst>
        </c:ser>
        <c:dLbls>
          <c:dLblPos val="outEnd"/>
          <c:showLegendKey val="0"/>
          <c:showVal val="1"/>
          <c:showCatName val="0"/>
          <c:showSerName val="0"/>
          <c:showPercent val="0"/>
          <c:showBubbleSize val="0"/>
        </c:dLbls>
        <c:gapWidth val="219"/>
        <c:overlap val="-27"/>
        <c:axId val="74506287"/>
        <c:axId val="1805416303"/>
      </c:barChart>
      <c:catAx>
        <c:axId val="7450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416303"/>
        <c:crosses val="autoZero"/>
        <c:auto val="1"/>
        <c:lblAlgn val="ctr"/>
        <c:lblOffset val="100"/>
        <c:noMultiLvlLbl val="0"/>
      </c:catAx>
      <c:valAx>
        <c:axId val="180541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0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[Excel_Student_Performance_Analysis.xlsx]Pivot_Summary!PivotTable5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Student-wise</a:t>
            </a:r>
            <a:r>
              <a:rPr lang="en-US" baseline="0"/>
              <a:t> Total Marks</a:t>
            </a:r>
            <a:endParaRPr lang="en-US"/>
          </a:p>
        </c:rich>
      </c:tx>
      <c:layout>
        <c:manualLayout>
          <c:xMode val="edge"/>
          <c:yMode val="edge"/>
          <c:x val="0.2893611111111111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Pivot_Summary!$B$22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Pivot_Summary!$A$23:$A$26</c:f>
              <c:strCache>
                <c:ptCount val="3"/>
                <c:pt idx="0">
                  <c:v>Aman</c:v>
                </c:pt>
                <c:pt idx="1">
                  <c:v>Rahul</c:v>
                </c:pt>
                <c:pt idx="2">
                  <c:v>Sneha</c:v>
                </c:pt>
              </c:strCache>
            </c:strRef>
          </c:cat>
          <c:val>
            <c:numRef>
              <c:f>Pivot_Summary!$B$23:$B$26</c:f>
              <c:numCache>
                <c:formatCode>General</c:formatCode>
                <c:ptCount val="3"/>
                <c:pt idx="0">
                  <c:v>191</c:v>
                </c:pt>
                <c:pt idx="1">
                  <c:v>418</c:v>
                </c:pt>
                <c:pt idx="2">
                  <c:v>460</c:v>
                </c:pt>
              </c:numCache>
            </c:numRef>
          </c:val>
          <c:extLst>
            <c:ext xmlns:c16="http://schemas.microsoft.com/office/drawing/2014/chart" uri="{C3380CC4-5D6E-409C-BE32-E72D297353CC}">
              <c16:uniqueId val="{00000000-3714-4643-BDF7-A92AAD35B9FA}"/>
            </c:ext>
          </c:extLst>
        </c:ser>
        <c:dLbls>
          <c:dLblPos val="outEnd"/>
          <c:showLegendKey val="0"/>
          <c:showVal val="1"/>
          <c:showCatName val="0"/>
          <c:showSerName val="0"/>
          <c:showPercent val="0"/>
          <c:showBubbleSize val="0"/>
        </c:dLbls>
        <c:gapWidth val="182"/>
        <c:axId val="1312821743"/>
        <c:axId val="1312797183"/>
      </c:barChart>
      <c:catAx>
        <c:axId val="1312821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797183"/>
        <c:crosses val="autoZero"/>
        <c:auto val="1"/>
        <c:lblAlgn val="ctr"/>
        <c:lblOffset val="100"/>
        <c:noMultiLvlLbl val="0"/>
      </c:catAx>
      <c:valAx>
        <c:axId val="1312797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82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[Excel_Student_Performance_Analysis.xlsx]Pivot_Summary!PivotTable6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a:t>
            </a:r>
            <a:r>
              <a:rPr lang="en-US" baseline="0"/>
              <a:t> Performance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Pivot_Summary!$B$30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Pivot_Summary!$A$31:$A$34</c:f>
              <c:strCache>
                <c:ptCount val="3"/>
                <c:pt idx="0">
                  <c:v>Aman</c:v>
                </c:pt>
                <c:pt idx="1">
                  <c:v>Rahul</c:v>
                </c:pt>
                <c:pt idx="2">
                  <c:v>Sneha</c:v>
                </c:pt>
              </c:strCache>
            </c:strRef>
          </c:cat>
          <c:val>
            <c:numRef>
              <c:f>Pivot_Summary!$B$31:$B$34</c:f>
              <c:numCache>
                <c:formatCode>General</c:formatCode>
                <c:ptCount val="3"/>
                <c:pt idx="0">
                  <c:v>38.200000000000003</c:v>
                </c:pt>
                <c:pt idx="1">
                  <c:v>83.6</c:v>
                </c:pt>
                <c:pt idx="2">
                  <c:v>92</c:v>
                </c:pt>
              </c:numCache>
            </c:numRef>
          </c:val>
          <c:smooth val="0"/>
          <c:extLst>
            <c:ext xmlns:c16="http://schemas.microsoft.com/office/drawing/2014/chart" uri="{C3380CC4-5D6E-409C-BE32-E72D297353CC}">
              <c16:uniqueId val="{00000000-3B13-4ECE-AB6C-C81751E4C89D}"/>
            </c:ext>
          </c:extLst>
        </c:ser>
        <c:dLbls>
          <c:dLblPos val="t"/>
          <c:showLegendKey val="0"/>
          <c:showVal val="1"/>
          <c:showCatName val="0"/>
          <c:showSerName val="0"/>
          <c:showPercent val="0"/>
          <c:showBubbleSize val="0"/>
        </c:dLbls>
        <c:marker val="1"/>
        <c:smooth val="0"/>
        <c:axId val="1262935327"/>
        <c:axId val="1101292991"/>
      </c:lineChart>
      <c:catAx>
        <c:axId val="126293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292991"/>
        <c:crosses val="autoZero"/>
        <c:auto val="1"/>
        <c:lblAlgn val="ctr"/>
        <c:lblOffset val="100"/>
        <c:noMultiLvlLbl val="0"/>
      </c:catAx>
      <c:valAx>
        <c:axId val="1101292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935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266700</xdr:colOff>
      <xdr:row>5</xdr:row>
      <xdr:rowOff>104774</xdr:rowOff>
    </xdr:from>
    <xdr:to>
      <xdr:col>14</xdr:col>
      <xdr:colOff>571500</xdr:colOff>
      <xdr:row>20</xdr:row>
      <xdr:rowOff>85725</xdr:rowOff>
    </xdr:to>
    <xdr:graphicFrame macro="">
      <xdr:nvGraphicFramePr>
        <xdr:cNvPr id="7" name="Chart 6">
          <a:extLst>
            <a:ext uri="{FF2B5EF4-FFF2-40B4-BE49-F238E27FC236}">
              <a16:creationId xmlns:a16="http://schemas.microsoft.com/office/drawing/2014/main" id="{880EB838-7D8F-4B8C-8FE8-E400506AF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xdr:row>
      <xdr:rowOff>180975</xdr:rowOff>
    </xdr:from>
    <xdr:to>
      <xdr:col>4</xdr:col>
      <xdr:colOff>800100</xdr:colOff>
      <xdr:row>41</xdr:row>
      <xdr:rowOff>0</xdr:rowOff>
    </xdr:to>
    <xdr:graphicFrame macro="">
      <xdr:nvGraphicFramePr>
        <xdr:cNvPr id="8" name="Chart 7">
          <a:extLst>
            <a:ext uri="{FF2B5EF4-FFF2-40B4-BE49-F238E27FC236}">
              <a16:creationId xmlns:a16="http://schemas.microsoft.com/office/drawing/2014/main" id="{1C7D44E9-41B7-4018-97EB-63FE1B015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238125</xdr:colOff>
      <xdr:row>0</xdr:row>
      <xdr:rowOff>933451</xdr:rowOff>
    </xdr:from>
    <xdr:to>
      <xdr:col>13</xdr:col>
      <xdr:colOff>238125</xdr:colOff>
      <xdr:row>5</xdr:row>
      <xdr:rowOff>57151</xdr:rowOff>
    </xdr:to>
    <mc:AlternateContent xmlns:mc="http://schemas.openxmlformats.org/markup-compatibility/2006">
      <mc:Choice xmlns:a14="http://schemas.microsoft.com/office/drawing/2010/main" Requires="a14">
        <xdr:graphicFrame macro="">
          <xdr:nvGraphicFramePr>
            <xdr:cNvPr id="10" name="Class">
              <a:extLst>
                <a:ext uri="{FF2B5EF4-FFF2-40B4-BE49-F238E27FC236}">
                  <a16:creationId xmlns:a16="http://schemas.microsoft.com/office/drawing/2014/main" id="{49FA9F60-2183-43F7-B8B5-469B2AEAFA75}"/>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dr:sp macro="" textlink="">
          <xdr:nvSpPr>
            <xdr:cNvPr id="0" name=""/>
            <xdr:cNvSpPr>
              <a:spLocks noTextEdit="1"/>
            </xdr:cNvSpPr>
          </xdr:nvSpPr>
          <xdr:spPr>
            <a:xfrm>
              <a:off x="9744075" y="933451"/>
              <a:ext cx="1828800" cy="1123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xdr:row>
      <xdr:rowOff>114300</xdr:rowOff>
    </xdr:from>
    <xdr:to>
      <xdr:col>4</xdr:col>
      <xdr:colOff>857250</xdr:colOff>
      <xdr:row>20</xdr:row>
      <xdr:rowOff>0</xdr:rowOff>
    </xdr:to>
    <xdr:graphicFrame macro="">
      <xdr:nvGraphicFramePr>
        <xdr:cNvPr id="12" name="Chart 11">
          <a:extLst>
            <a:ext uri="{FF2B5EF4-FFF2-40B4-BE49-F238E27FC236}">
              <a16:creationId xmlns:a16="http://schemas.microsoft.com/office/drawing/2014/main" id="{CC072B39-7EC9-4255-BCDA-EB5D9C07B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266700</xdr:colOff>
      <xdr:row>26</xdr:row>
      <xdr:rowOff>171450</xdr:rowOff>
    </xdr:from>
    <xdr:to>
      <xdr:col>14</xdr:col>
      <xdr:colOff>571500</xdr:colOff>
      <xdr:row>40</xdr:row>
      <xdr:rowOff>152400</xdr:rowOff>
    </xdr:to>
    <xdr:graphicFrame macro="">
      <xdr:nvGraphicFramePr>
        <xdr:cNvPr id="13" name="Chart 12">
          <a:extLst>
            <a:ext uri="{FF2B5EF4-FFF2-40B4-BE49-F238E27FC236}">
              <a16:creationId xmlns:a16="http://schemas.microsoft.com/office/drawing/2014/main" id="{C4F067BF-19D8-434C-90B2-E8A291B44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38.218390162037" createdVersion="6" refreshedVersion="6" minRefreshableVersion="3" recordCount="3" xr:uid="{197236DE-5A9B-4990-A4EA-CA60F3EAF22F}">
  <cacheSource type="worksheet">
    <worksheetSource ref="A1:L4" sheet="Marks_Data"/>
  </cacheSource>
  <cacheFields count="12">
    <cacheField name="Roll No" numFmtId="0">
      <sharedItems containsSemiMixedTypes="0" containsString="0" containsNumber="1" containsInteger="1" minValue="101" maxValue="103"/>
    </cacheField>
    <cacheField name="Student Name" numFmtId="0">
      <sharedItems count="3">
        <s v="Rahul"/>
        <s v="Sneha"/>
        <s v="Aman"/>
      </sharedItems>
    </cacheField>
    <cacheField name="Class" numFmtId="0">
      <sharedItems count="2">
        <s v="10A"/>
        <s v="10B"/>
      </sharedItems>
    </cacheField>
    <cacheField name="English" numFmtId="0">
      <sharedItems containsSemiMixedTypes="0" containsString="0" containsNumber="1" containsInteger="1" minValue="40" maxValue="92"/>
    </cacheField>
    <cacheField name="Maths" numFmtId="0">
      <sharedItems containsSemiMixedTypes="0" containsString="0" containsNumber="1" containsInteger="1" minValue="35" maxValue="95"/>
    </cacheField>
    <cacheField name="Science" numFmtId="0">
      <sharedItems containsSemiMixedTypes="0" containsString="0" containsNumber="1" containsInteger="1" minValue="42" maxValue="90"/>
    </cacheField>
    <cacheField name="Computer" numFmtId="0">
      <sharedItems containsSemiMixedTypes="0" containsString="0" containsNumber="1" containsInteger="1" minValue="38" maxValue="94"/>
    </cacheField>
    <cacheField name="History" numFmtId="0">
      <sharedItems containsSemiMixedTypes="0" containsString="0" containsNumber="1" containsInteger="1" minValue="36" maxValue="89"/>
    </cacheField>
    <cacheField name="Total" numFmtId="0">
      <sharedItems containsSemiMixedTypes="0" containsString="0" containsNumber="1" containsInteger="1" minValue="191" maxValue="460"/>
    </cacheField>
    <cacheField name="Percentage" numFmtId="0">
      <sharedItems containsSemiMixedTypes="0" containsString="0" containsNumber="1" minValue="38.200000000000003" maxValue="92"/>
    </cacheField>
    <cacheField name="Grade" numFmtId="0">
      <sharedItems count="3">
        <s v="A"/>
        <s v="A+"/>
        <s v="F"/>
      </sharedItems>
    </cacheField>
    <cacheField name="Status" numFmtId="0">
      <sharedItems/>
    </cacheField>
  </cacheFields>
  <extLst>
    <ext xmlns:x14="http://schemas.microsoft.com/office/spreadsheetml/2009/9/main" uri="{725AE2AE-9491-48be-B2B4-4EB974FC3084}">
      <x14:pivotCacheDefinition pivotCacheId="3939255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n v="101"/>
    <x v="0"/>
    <x v="0"/>
    <n v="78"/>
    <n v="89"/>
    <n v="84"/>
    <n v="91"/>
    <n v="76"/>
    <n v="418"/>
    <n v="83.6"/>
    <x v="0"/>
    <s v="Pass"/>
  </r>
  <r>
    <n v="102"/>
    <x v="1"/>
    <x v="0"/>
    <n v="92"/>
    <n v="95"/>
    <n v="90"/>
    <n v="94"/>
    <n v="89"/>
    <n v="460"/>
    <n v="92"/>
    <x v="1"/>
    <s v="Pass"/>
  </r>
  <r>
    <n v="103"/>
    <x v="2"/>
    <x v="1"/>
    <n v="40"/>
    <n v="35"/>
    <n v="42"/>
    <n v="38"/>
    <n v="36"/>
    <n v="191"/>
    <n v="38.200000000000003"/>
    <x v="2"/>
    <s v="Fai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7BA4BE-F673-49E1-92B0-138985F4EC93}" name="PivotTable6"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0:B34" firstHeaderRow="1" firstDataRow="1" firstDataCol="1"/>
  <pivotFields count="12">
    <pivotField showAll="0"/>
    <pivotField axis="axisRow" showAll="0">
      <items count="4">
        <item x="2"/>
        <item x="0"/>
        <item x="1"/>
        <item t="default"/>
      </items>
    </pivotField>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s>
  <rowFields count="1">
    <field x="1"/>
  </rowFields>
  <rowItems count="4">
    <i>
      <x/>
    </i>
    <i>
      <x v="1"/>
    </i>
    <i>
      <x v="2"/>
    </i>
    <i t="grand">
      <x/>
    </i>
  </rowItems>
  <colItems count="1">
    <i/>
  </colItems>
  <dataFields count="1">
    <dataField name="Average of Percentage" fld="9" subtotal="average" baseField="1"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F96467-30EF-4CA8-9E28-13B89355C80E}" name="PivotTable5"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22:B26" firstHeaderRow="1" firstDataRow="1" firstDataCol="1"/>
  <pivotFields count="12">
    <pivotField showAll="0"/>
    <pivotField axis="axisRow" showAll="0">
      <items count="4">
        <item x="2"/>
        <item x="0"/>
        <item x="1"/>
        <item t="default"/>
      </items>
    </pivotField>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4">
    <i>
      <x/>
    </i>
    <i>
      <x v="1"/>
    </i>
    <i>
      <x v="2"/>
    </i>
    <i t="grand">
      <x/>
    </i>
  </rowItems>
  <colItems count="1">
    <i/>
  </colItems>
  <dataFields count="1">
    <dataField name="Sum of Total" fld="8"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3C0A93-E5F7-47D9-82E3-D9D73E8EC967}" name="PivotTable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6:B19" firstHeaderRow="1" firstDataRow="1" firstDataCol="1"/>
  <pivotFields count="12">
    <pivotField showAll="0"/>
    <pivotField showAll="0"/>
    <pivotField axis="axisRow" showAll="0">
      <items count="3">
        <item x="0"/>
        <item x="1"/>
        <item t="default"/>
      </items>
    </pivotField>
    <pivotField showAll="0"/>
    <pivotField showAll="0"/>
    <pivotField showAll="0"/>
    <pivotField showAll="0"/>
    <pivotField showAll="0"/>
    <pivotField showAll="0"/>
    <pivotField dataField="1" showAll="0"/>
    <pivotField showAll="0"/>
    <pivotField showAll="0"/>
  </pivotFields>
  <rowFields count="1">
    <field x="2"/>
  </rowFields>
  <rowItems count="3">
    <i>
      <x/>
    </i>
    <i>
      <x v="1"/>
    </i>
    <i t="grand">
      <x/>
    </i>
  </rowItems>
  <colItems count="1">
    <i/>
  </colItems>
  <dataFields count="1">
    <dataField name="Average of Percentage" fld="9"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A341B8-B7B8-4B0B-A1D2-45C1198F20BC}"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9:E10" firstHeaderRow="0" firstDataRow="1" firstDataCol="0"/>
  <pivotFields count="12">
    <pivotField showAll="0"/>
    <pivotField showAll="0"/>
    <pivotField showAll="0">
      <items count="3">
        <item x="0"/>
        <item x="1"/>
        <item t="default"/>
      </items>
    </pivotField>
    <pivotField dataField="1" showAll="0"/>
    <pivotField dataField="1" showAll="0"/>
    <pivotField dataField="1" showAll="0"/>
    <pivotField dataField="1" showAll="0"/>
    <pivotField dataField="1" showAll="0"/>
    <pivotField showAll="0"/>
    <pivotField showAll="0"/>
    <pivotField showAll="0"/>
    <pivotField showAll="0"/>
  </pivotFields>
  <rowItems count="1">
    <i/>
  </rowItems>
  <colFields count="1">
    <field x="-2"/>
  </colFields>
  <colItems count="5">
    <i>
      <x/>
    </i>
    <i i="1">
      <x v="1"/>
    </i>
    <i i="2">
      <x v="2"/>
    </i>
    <i i="3">
      <x v="3"/>
    </i>
    <i i="4">
      <x v="4"/>
    </i>
  </colItems>
  <dataFields count="5">
    <dataField name="Average of English" fld="3" subtotal="average" baseField="0" baseItem="1"/>
    <dataField name="Average of Maths" fld="4" subtotal="average" baseField="0" baseItem="1"/>
    <dataField name="Average of Science" fld="5" subtotal="average" baseField="0" baseItem="1"/>
    <dataField name="Average of Computer" fld="6" subtotal="average" baseField="0" baseItem="1"/>
    <dataField name="Average of History" fld="7" subtotal="average" baseField="0" baseItem="1"/>
  </dataFields>
  <formats count="6">
    <format dxfId="221">
      <pivotArea outline="0" collapsedLevelsAreSubtotals="1" fieldPosition="0">
        <references count="1">
          <reference field="4294967294" count="1" selected="0">
            <x v="0"/>
          </reference>
        </references>
      </pivotArea>
    </format>
    <format dxfId="220">
      <pivotArea dataOnly="0" labelOnly="1" outline="0" fieldPosition="0">
        <references count="1">
          <reference field="4294967294" count="1">
            <x v="1"/>
          </reference>
        </references>
      </pivotArea>
    </format>
    <format dxfId="219">
      <pivotArea outline="0" collapsedLevelsAreSubtotals="1" fieldPosition="0">
        <references count="1">
          <reference field="4294967294" count="1" selected="0">
            <x v="1"/>
          </reference>
        </references>
      </pivotArea>
    </format>
    <format dxfId="218">
      <pivotArea outline="0" collapsedLevelsAreSubtotals="1" fieldPosition="0">
        <references count="1">
          <reference field="4294967294" count="1" selected="0">
            <x v="2"/>
          </reference>
        </references>
      </pivotArea>
    </format>
    <format dxfId="217">
      <pivotArea outline="0" collapsedLevelsAreSubtotals="1" fieldPosition="0">
        <references count="1">
          <reference field="4294967294" count="1" selected="0">
            <x v="3"/>
          </reference>
        </references>
      </pivotArea>
    </format>
    <format dxfId="216">
      <pivotArea outline="0" collapsedLevelsAreSubtotals="1" fieldPosition="0">
        <references count="1">
          <reference field="4294967294" count="1" selected="0">
            <x v="4"/>
          </reference>
        </references>
      </pivotArea>
    </format>
  </formats>
  <chartFormats count="55">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3"/>
          </reference>
        </references>
      </pivotArea>
    </chartFormat>
    <chartFormat chart="4" format="4" series="1">
      <pivotArea type="data" outline="0" fieldPosition="0">
        <references count="1">
          <reference field="4294967294" count="1" selected="0">
            <x v="4"/>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5" format="3" series="1">
      <pivotArea type="data" outline="0" fieldPosition="0">
        <references count="1">
          <reference field="4294967294" count="1" selected="0">
            <x v="3"/>
          </reference>
        </references>
      </pivotArea>
    </chartFormat>
    <chartFormat chart="5" format="4" series="1">
      <pivotArea type="data" outline="0" fieldPosition="0">
        <references count="1">
          <reference field="4294967294" count="1" selected="0">
            <x v="4"/>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 chart="6" format="4" series="1">
      <pivotArea type="data" outline="0" fieldPosition="0">
        <references count="1">
          <reference field="4294967294" count="1" selected="0">
            <x v="4"/>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3"/>
          </reference>
        </references>
      </pivotArea>
    </chartFormat>
    <chartFormat chart="7" format="4" series="1">
      <pivotArea type="data" outline="0" fieldPosition="0">
        <references count="1">
          <reference field="4294967294" count="1" selected="0">
            <x v="4"/>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3"/>
          </reference>
        </references>
      </pivotArea>
    </chartFormat>
    <chartFormat chart="8" format="4" series="1">
      <pivotArea type="data" outline="0" fieldPosition="0">
        <references count="1">
          <reference field="4294967294" count="1" selected="0">
            <x v="4"/>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9" format="3" series="1">
      <pivotArea type="data" outline="0" fieldPosition="0">
        <references count="1">
          <reference field="4294967294" count="1" selected="0">
            <x v="3"/>
          </reference>
        </references>
      </pivotArea>
    </chartFormat>
    <chartFormat chart="9" format="4" series="1">
      <pivotArea type="data" outline="0" fieldPosition="0">
        <references count="1">
          <reference field="4294967294" count="1" selected="0">
            <x v="4"/>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0" format="3" series="1">
      <pivotArea type="data" outline="0" fieldPosition="0">
        <references count="1">
          <reference field="4294967294" count="1" selected="0">
            <x v="3"/>
          </reference>
        </references>
      </pivotArea>
    </chartFormat>
    <chartFormat chart="10" format="4" series="1">
      <pivotArea type="data" outline="0" fieldPosition="0">
        <references count="1">
          <reference field="4294967294" count="1" selected="0">
            <x v="4"/>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1" format="3" series="1">
      <pivotArea type="data" outline="0" fieldPosition="0">
        <references count="1">
          <reference field="4294967294" count="1" selected="0">
            <x v="3"/>
          </reference>
        </references>
      </pivotArea>
    </chartFormat>
    <chartFormat chart="11" format="4" series="1">
      <pivotArea type="data" outline="0" fieldPosition="0">
        <references count="1">
          <reference field="4294967294" count="1" selected="0">
            <x v="4"/>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2" format="3" series="1">
      <pivotArea type="data" outline="0" fieldPosition="0">
        <references count="1">
          <reference field="4294967294" count="1" selected="0">
            <x v="3"/>
          </reference>
        </references>
      </pivotArea>
    </chartFormat>
    <chartFormat chart="12" format="4" series="1">
      <pivotArea type="data" outline="0" fieldPosition="0">
        <references count="1">
          <reference field="4294967294" count="1" selected="0">
            <x v="4"/>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 chart="13" format="3" series="1">
      <pivotArea type="data" outline="0" fieldPosition="0">
        <references count="1">
          <reference field="4294967294" count="1" selected="0">
            <x v="3"/>
          </reference>
        </references>
      </pivotArea>
    </chartFormat>
    <chartFormat chart="13" format="4" series="1">
      <pivotArea type="data" outline="0" fieldPosition="0">
        <references count="1">
          <reference field="4294967294" count="1" selected="0">
            <x v="4"/>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4" format="3" series="1">
      <pivotArea type="data" outline="0" fieldPosition="0">
        <references count="1">
          <reference field="4294967294" count="1" selected="0">
            <x v="3"/>
          </reference>
        </references>
      </pivotArea>
    </chartFormat>
    <chartFormat chart="14"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D74EEB-84AC-4E24-8ECE-009FDFBC8DCA}"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5" firstHeaderRow="1" firstDataRow="1" firstDataCol="1"/>
  <pivotFields count="12">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 showAll="0"/>
  </pivotFields>
  <rowFields count="1">
    <field x="10"/>
  </rowFields>
  <rowItems count="4">
    <i>
      <x/>
    </i>
    <i>
      <x v="1"/>
    </i>
    <i>
      <x v="2"/>
    </i>
    <i t="grand">
      <x/>
    </i>
  </rowItems>
  <colItems count="1">
    <i/>
  </colItems>
  <dataFields count="1">
    <dataField name="Count of Roll No" fld="0" subtotal="count" baseField="1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5109D725-489E-47A6-87E8-9B8CA55B2502}" sourceName="Class">
  <pivotTables>
    <pivotTable tabId="3" name="PivotTable2"/>
    <pivotTable tabId="3" name="PivotTable1"/>
    <pivotTable tabId="3" name="PivotTable3"/>
    <pivotTable tabId="3" name="PivotTable5"/>
    <pivotTable tabId="3" name="PivotTable6"/>
  </pivotTables>
  <data>
    <tabular pivotCacheId="39392559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 xr10:uid="{4C225611-10D1-4273-A098-F283884497C8}" cache="Slicer_Class" caption="Clas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
  <sheetViews>
    <sheetView workbookViewId="0">
      <selection activeCell="B1" sqref="B1"/>
    </sheetView>
  </sheetViews>
  <sheetFormatPr defaultRowHeight="15" x14ac:dyDescent="0.25"/>
  <cols>
    <col min="2" max="2" width="13.85546875" bestFit="1" customWidth="1"/>
    <col min="7" max="7" width="9.42578125" customWidth="1"/>
    <col min="10" max="10" width="11" bestFit="1" customWidth="1"/>
  </cols>
  <sheetData>
    <row r="1" spans="1:12" x14ac:dyDescent="0.25">
      <c r="A1" s="1" t="s">
        <v>0</v>
      </c>
      <c r="B1" s="1" t="s">
        <v>1</v>
      </c>
      <c r="C1" t="s">
        <v>2</v>
      </c>
      <c r="D1" t="s">
        <v>3</v>
      </c>
      <c r="E1" t="s">
        <v>4</v>
      </c>
      <c r="F1" t="s">
        <v>5</v>
      </c>
      <c r="G1" t="s">
        <v>6</v>
      </c>
      <c r="H1" t="s">
        <v>7</v>
      </c>
      <c r="I1" s="1" t="s">
        <v>8</v>
      </c>
      <c r="J1" t="s">
        <v>9</v>
      </c>
      <c r="K1" t="s">
        <v>10</v>
      </c>
      <c r="L1" t="s">
        <v>11</v>
      </c>
    </row>
    <row r="2" spans="1:12" x14ac:dyDescent="0.25">
      <c r="A2" s="1">
        <v>101</v>
      </c>
      <c r="B2" s="1" t="s">
        <v>12</v>
      </c>
      <c r="C2" t="s">
        <v>13</v>
      </c>
      <c r="D2">
        <v>78</v>
      </c>
      <c r="E2">
        <v>89</v>
      </c>
      <c r="F2">
        <v>84</v>
      </c>
      <c r="G2">
        <v>91</v>
      </c>
      <c r="H2">
        <v>76</v>
      </c>
      <c r="I2">
        <v>418</v>
      </c>
      <c r="J2">
        <v>83.6</v>
      </c>
      <c r="K2" t="s">
        <v>14</v>
      </c>
      <c r="L2" t="s">
        <v>15</v>
      </c>
    </row>
    <row r="3" spans="1:12" x14ac:dyDescent="0.25">
      <c r="A3" s="1">
        <v>102</v>
      </c>
      <c r="B3" s="1" t="s">
        <v>16</v>
      </c>
      <c r="C3" t="s">
        <v>13</v>
      </c>
      <c r="D3">
        <v>92</v>
      </c>
      <c r="E3">
        <v>95</v>
      </c>
      <c r="F3">
        <v>90</v>
      </c>
      <c r="G3">
        <v>94</v>
      </c>
      <c r="H3">
        <v>89</v>
      </c>
      <c r="I3">
        <v>460</v>
      </c>
      <c r="J3">
        <v>92</v>
      </c>
      <c r="K3" t="s">
        <v>17</v>
      </c>
      <c r="L3" t="s">
        <v>15</v>
      </c>
    </row>
    <row r="4" spans="1:12" x14ac:dyDescent="0.25">
      <c r="A4" s="1">
        <v>103</v>
      </c>
      <c r="B4" s="1" t="s">
        <v>18</v>
      </c>
      <c r="C4" t="s">
        <v>19</v>
      </c>
      <c r="D4">
        <v>40</v>
      </c>
      <c r="E4">
        <v>35</v>
      </c>
      <c r="F4">
        <v>42</v>
      </c>
      <c r="G4">
        <v>38</v>
      </c>
      <c r="H4">
        <v>36</v>
      </c>
      <c r="I4">
        <v>191</v>
      </c>
      <c r="J4">
        <v>38.200000000000003</v>
      </c>
      <c r="K4" t="s">
        <v>20</v>
      </c>
      <c r="L4" t="s">
        <v>21</v>
      </c>
    </row>
  </sheetData>
  <conditionalFormatting sqref="J2:J4">
    <cfRule type="cellIs" dxfId="230" priority="5" operator="greaterThan">
      <formula>90</formula>
    </cfRule>
  </conditionalFormatting>
  <conditionalFormatting sqref="L1:L1048576 M1">
    <cfRule type="containsText" dxfId="229" priority="4" operator="containsText" text="Fail">
      <formula>NOT(ISERROR(SEARCH("Fail",L1)))</formula>
    </cfRule>
  </conditionalFormatting>
  <conditionalFormatting sqref="I1:I1048576">
    <cfRule type="top10" dxfId="228" priority="3" rank="1"/>
  </conditionalFormatting>
  <conditionalFormatting sqref="D2:H4">
    <cfRule type="dataBar" priority="1">
      <dataBar>
        <cfvo type="min"/>
        <cfvo type="max"/>
        <color rgb="FF638EC6"/>
      </dataBar>
      <extLst>
        <ext xmlns:x14="http://schemas.microsoft.com/office/spreadsheetml/2009/9/main" uri="{B025F937-C7B1-47D3-B67F-A62EFF666E3E}">
          <x14:id>{F1B37EF1-72FF-4DBF-8B17-BF1103A0C2E8}</x14:id>
        </ext>
      </extLst>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F1B37EF1-72FF-4DBF-8B17-BF1103A0C2E8}">
            <x14:dataBar minLength="0" maxLength="100" border="1" negativeBarBorderColorSameAsPositive="0">
              <x14:cfvo type="autoMin"/>
              <x14:cfvo type="autoMax"/>
              <x14:borderColor rgb="FF638EC6"/>
              <x14:negativeFillColor rgb="FFFF0000"/>
              <x14:negativeBorderColor rgb="FFFF0000"/>
              <x14:axisColor rgb="FF000000"/>
            </x14:dataBar>
          </x14:cfRule>
          <xm:sqref>D2:H4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workbookViewId="0">
      <selection activeCell="H1" sqref="H1:I6"/>
    </sheetView>
  </sheetViews>
  <sheetFormatPr defaultRowHeight="15" x14ac:dyDescent="0.25"/>
  <cols>
    <col min="1" max="1" width="72.5703125" bestFit="1" customWidth="1"/>
  </cols>
  <sheetData>
    <row r="1" spans="1:6" x14ac:dyDescent="0.25">
      <c r="A1" s="3" t="s">
        <v>26</v>
      </c>
      <c r="E1" t="s">
        <v>10</v>
      </c>
      <c r="F1" t="s">
        <v>22</v>
      </c>
    </row>
    <row r="2" spans="1:6" x14ac:dyDescent="0.25">
      <c r="E2" t="s">
        <v>17</v>
      </c>
      <c r="F2">
        <v>1</v>
      </c>
    </row>
    <row r="3" spans="1:6" x14ac:dyDescent="0.25">
      <c r="A3" t="s">
        <v>27</v>
      </c>
      <c r="E3" t="s">
        <v>43</v>
      </c>
      <c r="F3">
        <v>1</v>
      </c>
    </row>
    <row r="4" spans="1:6" x14ac:dyDescent="0.25">
      <c r="E4" t="s">
        <v>23</v>
      </c>
      <c r="F4">
        <v>0</v>
      </c>
    </row>
    <row r="5" spans="1:6" x14ac:dyDescent="0.25">
      <c r="A5" t="s">
        <v>28</v>
      </c>
      <c r="E5" t="s">
        <v>24</v>
      </c>
      <c r="F5">
        <v>0</v>
      </c>
    </row>
    <row r="6" spans="1:6" x14ac:dyDescent="0.25">
      <c r="E6" t="s">
        <v>20</v>
      </c>
      <c r="F6">
        <v>1</v>
      </c>
    </row>
    <row r="7" spans="1:6" x14ac:dyDescent="0.25">
      <c r="A7" t="s">
        <v>29</v>
      </c>
    </row>
  </sheetData>
  <conditionalFormatting sqref="B2:B4">
    <cfRule type="cellIs" dxfId="227" priority="5" operator="greaterThan">
      <formula>90</formula>
    </cfRule>
  </conditionalFormatting>
  <conditionalFormatting sqref="D1:D6">
    <cfRule type="containsText" dxfId="226" priority="4" operator="containsText" text="Fail">
      <formula>NOT(ISERROR(SEARCH("Fail",D1)))</formula>
    </cfRule>
  </conditionalFormatting>
  <conditionalFormatting sqref="A1:A6">
    <cfRule type="top10" dxfId="225" priority="3" rank="1"/>
  </conditionalFormatting>
  <conditionalFormatting sqref="H1">
    <cfRule type="containsText" dxfId="224" priority="2" operator="containsText" text="Fail">
      <formula>NOT(ISERROR(SEARCH("Fail",H1)))</formula>
    </cfRule>
  </conditionalFormatting>
  <conditionalFormatting sqref="I1">
    <cfRule type="containsText" dxfId="223" priority="1" operator="containsText" text="Fail">
      <formula>NOT(ISERROR(SEARCH("Fail",I1)))</formula>
    </cfRule>
  </conditionalFormatting>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4"/>
  <sheetViews>
    <sheetView topLeftCell="A19" workbookViewId="0">
      <selection activeCell="H23" sqref="H23"/>
    </sheetView>
  </sheetViews>
  <sheetFormatPr defaultRowHeight="15" x14ac:dyDescent="0.25"/>
  <cols>
    <col min="1" max="1" width="13.140625" bestFit="1" customWidth="1"/>
    <col min="2" max="2" width="21.42578125" bestFit="1" customWidth="1"/>
    <col min="3" max="3" width="18" bestFit="1" customWidth="1"/>
    <col min="4" max="4" width="20.140625" bestFit="1" customWidth="1"/>
    <col min="5" max="5" width="17.5703125" bestFit="1" customWidth="1"/>
    <col min="6" max="7" width="11.28515625" bestFit="1" customWidth="1"/>
    <col min="8" max="8" width="9.140625" bestFit="1" customWidth="1"/>
    <col min="9" max="9" width="13.140625" bestFit="1" customWidth="1"/>
    <col min="10" max="10" width="12" bestFit="1" customWidth="1"/>
  </cols>
  <sheetData>
    <row r="1" spans="1:5" x14ac:dyDescent="0.25">
      <c r="A1" s="4" t="s">
        <v>30</v>
      </c>
      <c r="B1" t="s">
        <v>32</v>
      </c>
    </row>
    <row r="2" spans="1:5" x14ac:dyDescent="0.25">
      <c r="A2" s="3" t="s">
        <v>14</v>
      </c>
      <c r="B2" s="5">
        <v>1</v>
      </c>
    </row>
    <row r="3" spans="1:5" x14ac:dyDescent="0.25">
      <c r="A3" s="3" t="s">
        <v>17</v>
      </c>
      <c r="B3" s="5">
        <v>1</v>
      </c>
    </row>
    <row r="4" spans="1:5" x14ac:dyDescent="0.25">
      <c r="A4" s="3" t="s">
        <v>20</v>
      </c>
      <c r="B4" s="5">
        <v>1</v>
      </c>
    </row>
    <row r="5" spans="1:5" x14ac:dyDescent="0.25">
      <c r="A5" s="3" t="s">
        <v>31</v>
      </c>
      <c r="B5" s="5">
        <v>3</v>
      </c>
    </row>
    <row r="9" spans="1:5" x14ac:dyDescent="0.25">
      <c r="A9" t="s">
        <v>33</v>
      </c>
      <c r="B9" s="1" t="s">
        <v>34</v>
      </c>
      <c r="C9" t="s">
        <v>35</v>
      </c>
      <c r="D9" t="s">
        <v>36</v>
      </c>
      <c r="E9" t="s">
        <v>37</v>
      </c>
    </row>
    <row r="10" spans="1:5" x14ac:dyDescent="0.25">
      <c r="A10" s="14">
        <v>70</v>
      </c>
      <c r="B10" s="14">
        <v>73</v>
      </c>
      <c r="C10" s="14">
        <v>72</v>
      </c>
      <c r="D10" s="14">
        <v>74.333333333333329</v>
      </c>
      <c r="E10" s="14">
        <v>67</v>
      </c>
    </row>
    <row r="16" spans="1:5" x14ac:dyDescent="0.25">
      <c r="A16" s="4" t="s">
        <v>30</v>
      </c>
      <c r="B16" t="s">
        <v>38</v>
      </c>
    </row>
    <row r="17" spans="1:11" x14ac:dyDescent="0.25">
      <c r="A17" s="3" t="s">
        <v>13</v>
      </c>
      <c r="B17" s="5">
        <v>87.8</v>
      </c>
    </row>
    <row r="18" spans="1:11" x14ac:dyDescent="0.25">
      <c r="A18" s="3" t="s">
        <v>19</v>
      </c>
      <c r="B18" s="5">
        <v>38.200000000000003</v>
      </c>
    </row>
    <row r="19" spans="1:11" x14ac:dyDescent="0.25">
      <c r="A19" s="3" t="s">
        <v>31</v>
      </c>
      <c r="B19" s="5">
        <v>71.266666666666666</v>
      </c>
    </row>
    <row r="22" spans="1:11" x14ac:dyDescent="0.25">
      <c r="A22" s="4" t="s">
        <v>30</v>
      </c>
      <c r="B22" t="s">
        <v>53</v>
      </c>
      <c r="C22" s="4"/>
      <c r="D22" s="4"/>
      <c r="E22" s="4"/>
      <c r="F22" s="4"/>
      <c r="G22" s="4"/>
      <c r="H22" s="4"/>
      <c r="I22" s="4"/>
      <c r="J22" s="4"/>
      <c r="K22" s="4"/>
    </row>
    <row r="23" spans="1:11" x14ac:dyDescent="0.25">
      <c r="A23" s="3" t="s">
        <v>18</v>
      </c>
      <c r="B23" s="5">
        <v>191</v>
      </c>
    </row>
    <row r="24" spans="1:11" x14ac:dyDescent="0.25">
      <c r="A24" s="3" t="s">
        <v>12</v>
      </c>
      <c r="B24" s="5">
        <v>418</v>
      </c>
    </row>
    <row r="25" spans="1:11" x14ac:dyDescent="0.25">
      <c r="A25" s="3" t="s">
        <v>16</v>
      </c>
      <c r="B25" s="5">
        <v>460</v>
      </c>
    </row>
    <row r="26" spans="1:11" x14ac:dyDescent="0.25">
      <c r="A26" s="3" t="s">
        <v>31</v>
      </c>
      <c r="B26" s="5">
        <v>1069</v>
      </c>
    </row>
    <row r="30" spans="1:11" x14ac:dyDescent="0.25">
      <c r="A30" s="4" t="s">
        <v>30</v>
      </c>
      <c r="B30" t="s">
        <v>38</v>
      </c>
    </row>
    <row r="31" spans="1:11" x14ac:dyDescent="0.25">
      <c r="A31" s="3" t="s">
        <v>18</v>
      </c>
      <c r="B31" s="5">
        <v>38.200000000000003</v>
      </c>
    </row>
    <row r="32" spans="1:11" x14ac:dyDescent="0.25">
      <c r="A32" s="3" t="s">
        <v>12</v>
      </c>
      <c r="B32" s="5">
        <v>83.6</v>
      </c>
    </row>
    <row r="33" spans="1:2" x14ac:dyDescent="0.25">
      <c r="A33" s="3" t="s">
        <v>16</v>
      </c>
      <c r="B33" s="5">
        <v>92</v>
      </c>
    </row>
    <row r="34" spans="1:2" x14ac:dyDescent="0.25">
      <c r="A34" s="3" t="s">
        <v>31</v>
      </c>
      <c r="B34" s="5">
        <v>71.266666666666666</v>
      </c>
    </row>
  </sheetData>
  <conditionalFormatting sqref="E1">
    <cfRule type="containsText" dxfId="222" priority="1" operator="containsText" text="Fail">
      <formula>NOT(ISERROR(SEARCH("Fail",E1)))</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7"/>
  <sheetViews>
    <sheetView tabSelected="1" workbookViewId="0">
      <selection activeCell="K31" sqref="K31"/>
    </sheetView>
  </sheetViews>
  <sheetFormatPr defaultRowHeight="15" x14ac:dyDescent="0.25"/>
  <cols>
    <col min="1" max="1" width="25" bestFit="1" customWidth="1"/>
    <col min="3" max="3" width="24.140625" bestFit="1" customWidth="1"/>
    <col min="5" max="5" width="25.140625" bestFit="1" customWidth="1"/>
    <col min="7" max="7" width="13.42578125" bestFit="1" customWidth="1"/>
  </cols>
  <sheetData>
    <row r="1" spans="1:21" ht="75" customHeight="1" x14ac:dyDescent="0.25">
      <c r="A1" s="2"/>
      <c r="B1" s="2"/>
      <c r="C1" s="2"/>
      <c r="D1" s="33" t="s">
        <v>25</v>
      </c>
      <c r="E1" s="33"/>
      <c r="F1" s="33"/>
      <c r="G1" s="2"/>
      <c r="H1" s="31"/>
      <c r="I1" s="32"/>
      <c r="J1" s="32"/>
      <c r="K1" s="2"/>
      <c r="L1" s="2"/>
      <c r="M1" s="2"/>
      <c r="N1" s="2"/>
      <c r="O1" s="2"/>
      <c r="P1" s="2"/>
      <c r="Q1" s="2"/>
      <c r="R1" s="2"/>
      <c r="S1" s="2"/>
      <c r="T1" s="2"/>
      <c r="U1" s="2"/>
    </row>
    <row r="2" spans="1:21" ht="26.25" x14ac:dyDescent="0.4">
      <c r="A2" s="6" t="s">
        <v>39</v>
      </c>
      <c r="C2" s="8" t="s">
        <v>40</v>
      </c>
      <c r="E2" s="10" t="s">
        <v>41</v>
      </c>
      <c r="G2" s="12" t="s">
        <v>42</v>
      </c>
    </row>
    <row r="3" spans="1:21" ht="26.25" x14ac:dyDescent="0.4">
      <c r="A3" s="7">
        <v>3</v>
      </c>
      <c r="C3" s="9">
        <v>71.266666670000006</v>
      </c>
      <c r="E3" s="11">
        <v>460</v>
      </c>
      <c r="G3" s="13">
        <v>0.66669999999999996</v>
      </c>
    </row>
    <row r="76" spans="1:7" ht="26.25" x14ac:dyDescent="0.4">
      <c r="A76" s="6" t="s">
        <v>39</v>
      </c>
      <c r="C76" s="8" t="s">
        <v>40</v>
      </c>
      <c r="E76" s="10" t="s">
        <v>41</v>
      </c>
      <c r="G76" s="12" t="s">
        <v>42</v>
      </c>
    </row>
    <row r="77" spans="1:7" ht="26.25" x14ac:dyDescent="0.4">
      <c r="A77" s="7">
        <f>COUNTA(Marks_Data!B2:B100)</f>
        <v>3</v>
      </c>
      <c r="C77" s="9">
        <f>AVERAGE(Marks_Data!J2:J100)</f>
        <v>71.266666666666666</v>
      </c>
      <c r="E77" s="11">
        <f>MAX(Marks_Data!I2:I100)</f>
        <v>460</v>
      </c>
      <c r="G77" s="13">
        <f>COUNTIF(Marks_Data!L2:L100,"Pass")/COUNTA(Marks_Data!L2:L100)</f>
        <v>0.66666666666666663</v>
      </c>
    </row>
  </sheetData>
  <mergeCells count="2">
    <mergeCell ref="H1:J1"/>
    <mergeCell ref="D1:F1"/>
  </mergeCells>
  <pageMargins left="0.75" right="0.75" top="1" bottom="1" header="0.5" footer="0.5"/>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7"/>
  <sheetViews>
    <sheetView workbookViewId="0">
      <selection activeCell="D13" sqref="D13"/>
    </sheetView>
  </sheetViews>
  <sheetFormatPr defaultRowHeight="26.25" x14ac:dyDescent="0.4"/>
  <cols>
    <col min="1" max="1" width="36" style="17" bestFit="1" customWidth="1"/>
    <col min="2" max="2" width="13.28515625" style="17" bestFit="1" customWidth="1"/>
    <col min="3" max="3" width="29.28515625" style="19" bestFit="1" customWidth="1"/>
    <col min="4" max="4" width="14.42578125" bestFit="1" customWidth="1"/>
    <col min="8" max="8" width="34.5703125" bestFit="1" customWidth="1"/>
  </cols>
  <sheetData>
    <row r="1" spans="1:8" ht="28.5" customHeight="1" x14ac:dyDescent="0.45">
      <c r="A1" s="34" t="s">
        <v>45</v>
      </c>
      <c r="B1" s="34"/>
      <c r="C1" s="24"/>
      <c r="H1" s="15"/>
    </row>
    <row r="3" spans="1:8" x14ac:dyDescent="0.4">
      <c r="A3" s="25" t="s">
        <v>46</v>
      </c>
      <c r="B3" s="26" t="s">
        <v>12</v>
      </c>
      <c r="C3" s="20"/>
    </row>
    <row r="4" spans="1:8" x14ac:dyDescent="0.4">
      <c r="A4" s="27" t="s">
        <v>47</v>
      </c>
      <c r="B4" s="28">
        <f>INDEX(Marks_Data!A:A,MATCH(B3,Marks_Data!B:B,0))</f>
        <v>101</v>
      </c>
      <c r="C4" s="20"/>
      <c r="E4" s="21"/>
    </row>
    <row r="5" spans="1:8" x14ac:dyDescent="0.4">
      <c r="C5" s="17"/>
    </row>
    <row r="6" spans="1:8" x14ac:dyDescent="0.4">
      <c r="A6" s="16" t="s">
        <v>44</v>
      </c>
      <c r="B6" s="21" t="s">
        <v>48</v>
      </c>
      <c r="C6" s="26"/>
    </row>
    <row r="7" spans="1:8" x14ac:dyDescent="0.4">
      <c r="B7" s="22"/>
      <c r="C7" s="29"/>
    </row>
    <row r="8" spans="1:8" x14ac:dyDescent="0.4">
      <c r="A8" s="16" t="s">
        <v>3</v>
      </c>
      <c r="B8" s="22">
        <f>VLOOKUP($B$3,Marks_Data!$B:$H,3,FALSE)</f>
        <v>78</v>
      </c>
      <c r="C8" s="29"/>
    </row>
    <row r="9" spans="1:8" x14ac:dyDescent="0.4">
      <c r="A9" s="16" t="s">
        <v>4</v>
      </c>
      <c r="B9" s="22">
        <f>VLOOKUP($B$3,Marks_Data!$B:$H,4,FALSE)</f>
        <v>89</v>
      </c>
      <c r="C9" s="29"/>
    </row>
    <row r="10" spans="1:8" x14ac:dyDescent="0.4">
      <c r="A10" s="16" t="s">
        <v>5</v>
      </c>
      <c r="B10" s="22">
        <f>VLOOKUP($B$3,Marks_Data!$B:$H,5,FALSE)</f>
        <v>84</v>
      </c>
      <c r="C10" s="29"/>
    </row>
    <row r="11" spans="1:8" x14ac:dyDescent="0.4">
      <c r="A11" s="16" t="s">
        <v>6</v>
      </c>
      <c r="B11" s="22">
        <f>VLOOKUP($B$3,Marks_Data!$B:$H,6,FALSE)</f>
        <v>91</v>
      </c>
      <c r="C11" s="29"/>
    </row>
    <row r="12" spans="1:8" x14ac:dyDescent="0.4">
      <c r="A12" s="16" t="s">
        <v>7</v>
      </c>
      <c r="B12" s="22">
        <f>VLOOKUP($B$3,Marks_Data!$B:$H,7,FALSE)</f>
        <v>76</v>
      </c>
      <c r="C12" s="29"/>
    </row>
    <row r="13" spans="1:8" x14ac:dyDescent="0.4">
      <c r="C13" s="17"/>
    </row>
    <row r="14" spans="1:8" x14ac:dyDescent="0.4">
      <c r="A14" s="18" t="s">
        <v>49</v>
      </c>
      <c r="B14" s="22">
        <f>SUM(B8:B12)</f>
        <v>418</v>
      </c>
      <c r="C14" s="29"/>
    </row>
    <row r="15" spans="1:8" x14ac:dyDescent="0.4">
      <c r="A15" s="18" t="s">
        <v>50</v>
      </c>
      <c r="B15" s="23">
        <f>B14/500</f>
        <v>0.83599999999999997</v>
      </c>
      <c r="C15" s="30"/>
    </row>
    <row r="16" spans="1:8" x14ac:dyDescent="0.4">
      <c r="A16" s="18" t="s">
        <v>51</v>
      </c>
      <c r="B16" s="21" t="str">
        <f>IF(B15&gt;=0.9,"A+",IF(B15&gt;=0.75,"A",IF(B15&gt;=0.6,"B",IF(B15&gt;=0.4,"C","F"))))</f>
        <v>A</v>
      </c>
      <c r="C16" s="26"/>
    </row>
    <row r="17" spans="1:3" x14ac:dyDescent="0.4">
      <c r="A17" s="18" t="s">
        <v>52</v>
      </c>
      <c r="B17" s="21" t="str">
        <f>IF(B15&gt;=0.4,"Pass","Fail")</f>
        <v>Pass</v>
      </c>
      <c r="C17" s="26"/>
    </row>
  </sheetData>
  <mergeCells count="1">
    <mergeCell ref="A1:B1"/>
  </mergeCells>
  <pageMargins left="0.25" right="0.25"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854E8E44-E000-4485-B94A-144B9D06D755}">
          <x14:formula1>
            <xm:f>Marks_Data!A2:A4</xm:f>
          </x14:formula1>
          <xm:sqref>C3</xm:sqref>
        </x14:dataValidation>
        <x14:dataValidation type="list" allowBlank="1" showInputMessage="1" showErrorMessage="1" xr:uid="{214A2C2A-2932-4447-B1BE-C9B68ED08CF6}">
          <x14:formula1>
            <xm:f>Marks_Data!B2:B4</xm:f>
          </x14:formula1>
          <xm:sqref>B3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Marks_Data</vt:lpstr>
      <vt:lpstr>Formula_Calculations</vt:lpstr>
      <vt:lpstr>Pivot_Summary</vt:lpstr>
      <vt:lpstr>Dashboard</vt:lpstr>
      <vt:lpstr>Printable_Marksheet</vt:lpstr>
      <vt:lpstr>Printable_Marksheet!Print_Area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cp:lastPrinted>2026-08-03T02:44:55Z</cp:lastPrinted>
  <dcterms:created xsi:type="dcterms:W3CDTF">2026-05-27T06:34:33Z</dcterms:created>
  <dcterms:modified xsi:type="dcterms:W3CDTF">2026-08-04T00:25:06Z</dcterms:modified>
</cp:coreProperties>
</file>